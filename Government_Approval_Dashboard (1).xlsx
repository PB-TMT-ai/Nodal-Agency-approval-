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8E33A0B-C12B-4733-A19D-803CC4090C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Government Agencies Pipeline" sheetId="2" r:id="rId2"/>
    <sheet name="Backup" sheetId="3" state="hidden" r:id="rId3"/>
  </sheets>
  <definedNames>
    <definedName name="_xlnm._FilterDatabase" localSheetId="1" hidden="1">'Government Agencies Pipeline'!$A$1:$Q$26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16" i="1"/>
  <c r="I15" i="1"/>
  <c r="I14" i="1"/>
  <c r="I13" i="1"/>
  <c r="I12" i="1"/>
  <c r="I11" i="1"/>
  <c r="I10" i="1"/>
  <c r="I9" i="1"/>
  <c r="I8" i="1"/>
  <c r="I22" i="1"/>
  <c r="I21" i="1"/>
  <c r="F23" i="1"/>
  <c r="F22" i="1"/>
  <c r="F21" i="1"/>
  <c r="D23" i="1"/>
  <c r="D22" i="1"/>
  <c r="E22" i="1" s="1"/>
  <c r="D21" i="1"/>
  <c r="E21" i="1" s="1"/>
  <c r="F17" i="1"/>
  <c r="F16" i="1"/>
  <c r="F15" i="1"/>
  <c r="D17" i="1"/>
  <c r="D16" i="1"/>
  <c r="D15" i="1"/>
  <c r="D9" i="1"/>
  <c r="D8" i="1"/>
  <c r="D7" i="1"/>
  <c r="I23" i="1" l="1"/>
  <c r="I18" i="1"/>
  <c r="E15" i="1"/>
  <c r="E17" i="1"/>
  <c r="E16" i="1"/>
  <c r="E23" i="1"/>
</calcChain>
</file>

<file path=xl/sharedStrings.xml><?xml version="1.0" encoding="utf-8"?>
<sst xmlns="http://schemas.openxmlformats.org/spreadsheetml/2006/main" count="428" uniqueCount="133">
  <si>
    <t>Total Agencies in Pipeline:</t>
  </si>
  <si>
    <t>Uttar Pradesh</t>
  </si>
  <si>
    <t>Haryana</t>
  </si>
  <si>
    <t>Punjab</t>
  </si>
  <si>
    <t>West Bengal</t>
  </si>
  <si>
    <t>Priority</t>
  </si>
  <si>
    <t>Count</t>
  </si>
  <si>
    <t>Percentage</t>
  </si>
  <si>
    <t>Total Demand (MT)</t>
  </si>
  <si>
    <t>Odisha</t>
  </si>
  <si>
    <t>High</t>
  </si>
  <si>
    <t>Gujarat</t>
  </si>
  <si>
    <t>Medium</t>
  </si>
  <si>
    <t>Low</t>
  </si>
  <si>
    <t>Volume Level</t>
  </si>
  <si>
    <t>No.</t>
  </si>
  <si>
    <t>Department</t>
  </si>
  <si>
    <t>Central/State</t>
  </si>
  <si>
    <t>Pre-Qualified</t>
  </si>
  <si>
    <t>Empanelment</t>
  </si>
  <si>
    <t>Annual Demand (MT)</t>
  </si>
  <si>
    <t>Volume Potential</t>
  </si>
  <si>
    <t>Approval Rigor</t>
  </si>
  <si>
    <t>JSW Support</t>
  </si>
  <si>
    <t>NHAI</t>
  </si>
  <si>
    <t>MoRTH</t>
  </si>
  <si>
    <t>Yes</t>
  </si>
  <si>
    <t>Open</t>
  </si>
  <si>
    <t>No</t>
  </si>
  <si>
    <t>Rigorous</t>
  </si>
  <si>
    <t>NHIDCL</t>
  </si>
  <si>
    <t>CPWD</t>
  </si>
  <si>
    <t>MoHUA</t>
  </si>
  <si>
    <t>Yearly</t>
  </si>
  <si>
    <t>DMRC</t>
  </si>
  <si>
    <t>NBCC</t>
  </si>
  <si>
    <t>meeting next week</t>
  </si>
  <si>
    <t>DDA</t>
  </si>
  <si>
    <t>NCR-RRT</t>
  </si>
  <si>
    <t>MoHUA-State JV</t>
  </si>
  <si>
    <t>Indian Railways</t>
  </si>
  <si>
    <t>MoR</t>
  </si>
  <si>
    <t>To be found out</t>
  </si>
  <si>
    <t>IRCON</t>
  </si>
  <si>
    <t>RVNL</t>
  </si>
  <si>
    <t>BRO</t>
  </si>
  <si>
    <t>MoD</t>
  </si>
  <si>
    <t>MES</t>
  </si>
  <si>
    <t>PWD</t>
  </si>
  <si>
    <t>LDA</t>
  </si>
  <si>
    <t>UP Metro Rail Corporation</t>
  </si>
  <si>
    <t>Jal Jeevan Mission &amp; Namami Gange</t>
  </si>
  <si>
    <t>UPEIDA</t>
  </si>
  <si>
    <t>Yet to find out</t>
  </si>
  <si>
    <t>Works Department</t>
  </si>
  <si>
    <t>Opened on 6th Oct 2025</t>
  </si>
  <si>
    <t xml:space="preserve">2,00,0000
</t>
  </si>
  <si>
    <t>R&amp;BD Gujarat</t>
  </si>
  <si>
    <t>3,00,000</t>
  </si>
  <si>
    <t>GSRDC</t>
  </si>
  <si>
    <t>2,00,000</t>
  </si>
  <si>
    <t>Gujarat Police Housing</t>
  </si>
  <si>
    <t>Municipal Corporations(AMC/SMC/RMC/VMC)</t>
  </si>
  <si>
    <t>Current state of the project</t>
  </si>
  <si>
    <t>Active</t>
  </si>
  <si>
    <t>Inactive</t>
  </si>
  <si>
    <t>Center/State</t>
  </si>
  <si>
    <t>Approved TMT Brand</t>
  </si>
  <si>
    <t>Center</t>
  </si>
  <si>
    <t>JSW/JSPL Steel, TATA, SAIL, RINL, SRMB Srijan Pvt. Ltd., Rungta Mines Ltd., Real Ispat and Power Ltd. (GK TMT), 
Fortune Metal Ltd., Rama Power &amp; Steel Pvt. Ltd. (RAMA TMT), Shyam Steel, Shree Nakoda Ispat Ltd., Rashmi 
Metaliks Limited, MS Agarwal Foundaries Pvt. Ltd., SMW Ispat Pvt. Ltd. (Sangam Steel), Shri Bajrang Power &amp; 
Ispat Ltd. (GOEL TMT), Radha Smelters Pvt. Ltd. (RADHA TMT), Prime Gold Sail JVC Ltd., MSP Steel &amp; Power Ltd., 
ESL Steel Ltd. (Vedanta), Shakambhari Ispat &amp; Power Ltd. (Elegant Steel), Maithan Steel &amp; Power Ltd., Jai Balaji 
Industries Limited (Balaji Shakti TMT).</t>
  </si>
  <si>
    <t xml:space="preserve"> Tata, SAIL, RINL (VIZAG), JSW, Essar Steel, Sanghi, Electrotherm Steel, Jindal Steel</t>
  </si>
  <si>
    <t>Tata/JSW/RINL/SAIL/Shyam/SRMB/KL Steel/SKS Ispat</t>
  </si>
  <si>
    <t>SAIL, Tata Steel, RINL, JSW Steel Ltd, Electrosteel, Jindal Steel &amp; Power Ltd, Shyam Steel</t>
  </si>
  <si>
    <t>NA</t>
  </si>
  <si>
    <t>RINL, TATA, SAIL, Balaji Shakti, Shyam steel, Simhadri TMT, Jindal Panther, SRBM, GOEL TMT, G K TMT, Super 
Shakti, Gallant TMX, Rashmi TMT, Elegant TMT, Neo Steel, Kamachi,SEL, ET TMT, Nakoda TMT,Tulsyan TMT</t>
  </si>
  <si>
    <t>JSW/SAIL/Tata/RINL/Goel/Shyam/Govinda</t>
  </si>
  <si>
    <t>JSW/SAIL/Tata/RINL/Gallant/Shyam</t>
  </si>
  <si>
    <t>JSW/Tata/SAIL/RINL/Rungta/Shyam/Scan Steel</t>
  </si>
  <si>
    <t>JSW/Tata/SAIL/RINL/Rungta/Shyam</t>
  </si>
  <si>
    <t>Tata/SAIL/JSW/RINL/Electrotherm/Gallant</t>
  </si>
  <si>
    <t>Tata/JSW/SAIL/RINL/Ramsaroop/Shyam/National</t>
  </si>
  <si>
    <t>Brands Approved</t>
  </si>
  <si>
    <t>Primary+Others</t>
  </si>
  <si>
    <t>All except PSUs being reapproved</t>
  </si>
  <si>
    <t>Primary</t>
  </si>
  <si>
    <t>JSW/Tata/SAIL</t>
  </si>
  <si>
    <t>All OEM can bid on GEM</t>
  </si>
  <si>
    <t>To be checked</t>
  </si>
  <si>
    <t>Low Cost Brands Approved</t>
  </si>
  <si>
    <t>Discussion Stage</t>
  </si>
  <si>
    <t>Remarks</t>
  </si>
  <si>
    <t>Discussion</t>
  </si>
  <si>
    <t>File Submitted</t>
  </si>
  <si>
    <t>Decisioning</t>
  </si>
  <si>
    <t>Active Cases</t>
  </si>
  <si>
    <t>Current Stage</t>
  </si>
  <si>
    <t>On our own</t>
  </si>
  <si>
    <t>•	Working with their Top Management to get into the preferred list.Head – Quality and Head Design.Suffered setback due to sudden transfer of main backer Head Quality.
•	Parallelly working with ROs and PDs for source approval.
a)	CGM-Innovation Task Force is overseeing WB and UP.He called PD – Siliguri and a Contractor to do the approvals.
b)	Meeting PDs in RO – Delhi and Haryana.</t>
  </si>
  <si>
    <t>•	NHAI equivalent for border areas like JK / Ladakh / NE.
•	Will get source approvals after getting some conversions in NHAI</t>
  </si>
  <si>
    <t>•	Files have been scrutinized and plant visit scheduled being prepared
•	In our case a clarification has been sought from the CSQ team HQ Delhi as there has been no precedent of approval via Contract Manufacturing route.
•	Working with XeN Ninawe(from SDG Mumbai office).</t>
  </si>
  <si>
    <t>•	EOI expected to be released for brand approval by 28th Feb
•	Working with ED Arun Sharma and CGM Aditya Chandra on it.
•	Aditya shared a tactical opportunity of 5,000 MT recently.</t>
  </si>
  <si>
    <t>•	Met senior officials.Projects have dried up and Organization is suffering from major resource crunch</t>
  </si>
  <si>
    <t>•	Decision influenced by DMRC list</t>
  </si>
  <si>
    <t>•	Blast furnace route criteria for approval
•	CMD has asked for an application seeking plant visit to check quality</t>
  </si>
  <si>
    <t>•	Formal approvals are not given.
•	Procurement happens via GEM portal
•	Only OEMs are considered.</t>
  </si>
  <si>
    <t>•	Online application will have to be submitted
•	Trying to meet the Director – Design Neeraj Kumar before that</t>
  </si>
  <si>
    <t>•	Committee for Plant visit had been formed
•	Management approval needed for go-ahead</t>
  </si>
  <si>
    <t>•	File submitted to CE CP Gupta.Source approvals given 
•	Following up with CPG for a presentation.</t>
  </si>
  <si>
    <t>•	CE DK Singh aligned.Source approvals to be taken.</t>
  </si>
  <si>
    <t>•	File submitted.Following up for presentation</t>
  </si>
  <si>
    <t>•	File submitted.
•	Following up for plant visit</t>
  </si>
  <si>
    <t>•	File submitted.Some more documents sought.Revised file to be submitted this week.</t>
  </si>
  <si>
    <t>•	Discussions done.File to be submitted after Kharagpur plant comes up.</t>
  </si>
  <si>
    <t>Total Annual Demand (MT) [Active Cases]:</t>
  </si>
  <si>
    <t>Last Updated: 17th February 2026</t>
  </si>
  <si>
    <t>*BRO &amp; DDA not taken in the count</t>
  </si>
  <si>
    <t>Recent Updates</t>
  </si>
  <si>
    <t>Approach Route</t>
  </si>
  <si>
    <t>Potential Volume break-up</t>
  </si>
  <si>
    <t>Stages</t>
  </si>
  <si>
    <t>Overall</t>
  </si>
  <si>
    <t>Ministry/State wise breakup</t>
  </si>
  <si>
    <t>JSW Corp Affairs Support:</t>
  </si>
  <si>
    <t>Total</t>
  </si>
  <si>
    <t>High: &gt; 2,00,000 MT | Medium: 50,000-2,00,000 MT annual | Low:  &lt;50,000 MT annual</t>
  </si>
  <si>
    <r>
      <rPr>
        <b/>
        <sz val="20"/>
        <rFont val="Arial"/>
        <family val="2"/>
      </rPr>
      <t xml:space="preserve">NHAI:  </t>
    </r>
    <r>
      <rPr>
        <sz val="20"/>
        <rFont val="Arial"/>
        <family val="2"/>
      </rPr>
      <t xml:space="preserve"> © Working with CGMs at HQ Delhi for source approvals at states</t>
    </r>
  </si>
  <si>
    <r>
      <rPr>
        <b/>
        <sz val="20"/>
        <rFont val="Arial"/>
        <family val="2"/>
      </rPr>
      <t>State PWDs</t>
    </r>
    <r>
      <rPr>
        <sz val="20"/>
        <rFont val="Arial"/>
        <family val="2"/>
      </rPr>
      <t>: © Working on State PWDs - Odisha / Punjab / WB / UP.  | Haryana - Final call to be taken by us</t>
    </r>
  </si>
  <si>
    <t xml:space="preserve">             © WB PD (New Jalpaiguri) aligned for approval(3 major projects going on)</t>
  </si>
  <si>
    <r>
      <rPr>
        <b/>
        <sz val="20"/>
        <rFont val="Arial"/>
        <family val="2"/>
      </rPr>
      <t>CPWD</t>
    </r>
    <r>
      <rPr>
        <sz val="20"/>
        <rFont val="Arial"/>
        <family val="2"/>
      </rPr>
      <t>: © Clarification sought by Mumbai SDG office with HQ Delhi - there's no precedent.of approval to CM TMT brand.Working with Mumbai SDG SPOC for a favourable noting.</t>
    </r>
  </si>
  <si>
    <r>
      <rPr>
        <b/>
        <sz val="20"/>
        <color theme="1"/>
        <rFont val="Arial"/>
        <family val="2"/>
      </rPr>
      <t xml:space="preserve">NBCC:  © </t>
    </r>
    <r>
      <rPr>
        <sz val="20"/>
        <color theme="1"/>
        <rFont val="Arial"/>
        <family val="2"/>
      </rPr>
      <t>Approval process to be opened by 28th Feb.Built connect with key officials inside - ED &amp; CGM.</t>
    </r>
  </si>
  <si>
    <t xml:space="preserve">             © CGM shared a 5000 MT tactical opportunity 2 weeks back.Sales team working on it.</t>
  </si>
  <si>
    <r>
      <rPr>
        <b/>
        <sz val="20"/>
        <rFont val="Arial"/>
        <family val="2"/>
      </rPr>
      <t>RVNL</t>
    </r>
    <r>
      <rPr>
        <sz val="20"/>
        <rFont val="Arial"/>
        <family val="2"/>
      </rPr>
      <t>:  © Met CMD Saleem Ahmad. Only BF route TMT approved | Convinced him to consider JSW One | 20th Feb: File submission to CMD</t>
    </r>
  </si>
  <si>
    <t>Government Approval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</si>
</sst>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FFFF"/>
      <name val="Arial"/>
      <family val="2"/>
    </font>
    <font>
      <sz val="18"/>
      <color theme="1"/>
      <name val="Aptos Narrow (Body)"/>
    </font>
    <font>
      <sz val="18"/>
      <name val="Arial"/>
      <family val="2"/>
    </font>
    <font>
      <sz val="18"/>
      <color theme="1"/>
      <name val="Arial"/>
      <family val="2"/>
    </font>
    <font>
      <b/>
      <sz val="20"/>
      <color rgb="FF1F4E78"/>
      <name val="Arial"/>
      <family val="2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i/>
      <sz val="20"/>
      <color rgb="FF666666"/>
      <name val="Arial"/>
      <family val="2"/>
    </font>
    <font>
      <b/>
      <sz val="20"/>
      <name val="Arial"/>
      <family val="2"/>
    </font>
    <font>
      <b/>
      <sz val="20"/>
      <color rgb="FFFFFFFF"/>
      <name val="Arial"/>
      <family val="2"/>
    </font>
    <font>
      <sz val="20"/>
      <name val="Arial"/>
      <family val="2"/>
    </font>
    <font>
      <i/>
      <sz val="20"/>
      <color theme="1" tint="0.499984740745262"/>
      <name val="Calibri"/>
      <family val="2"/>
      <scheme val="minor"/>
    </font>
    <font>
      <b/>
      <sz val="20"/>
      <color theme="0" tint="-4.9989318521683403E-2"/>
      <name val="Arial"/>
      <family val="2"/>
    </font>
    <font>
      <sz val="20"/>
      <color theme="0" tint="-4.9989318521683403E-2"/>
      <name val="Calibri"/>
      <family val="2"/>
      <scheme val="minor"/>
    </font>
    <font>
      <b/>
      <sz val="20"/>
      <color theme="1" tint="0.49998474074526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002060"/>
      <name val="Arial"/>
      <family val="2"/>
    </font>
    <font>
      <sz val="20"/>
      <color theme="1"/>
      <name val="Arial"/>
      <family val="2"/>
    </font>
    <font>
      <b/>
      <sz val="2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rgb="FFE2EFDA"/>
      </patternFill>
    </fill>
    <fill>
      <patternFill patternType="solid">
        <fgColor rgb="FF9FBBD9"/>
        <bgColor rgb="FFFCE4D6"/>
      </patternFill>
    </fill>
    <fill>
      <patternFill patternType="solid">
        <fgColor rgb="FFC6D6E8"/>
        <bgColor rgb="FFFFF2CC"/>
      </patternFill>
    </fill>
    <fill>
      <patternFill patternType="solid">
        <fgColor theme="8" tint="0.79998168889431442"/>
        <bgColor rgb="FFE2EFDA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2CC"/>
      </patternFill>
    </fill>
    <fill>
      <patternFill patternType="solid">
        <fgColor theme="4" tint="0.59999389629810485"/>
        <bgColor rgb="FFF4B084"/>
      </patternFill>
    </fill>
    <fill>
      <patternFill patternType="solid">
        <fgColor theme="4" tint="-0.499984740745262"/>
        <bgColor rgb="FFE2EFDA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1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3" xfId="2" applyFont="1" applyBorder="1"/>
    <xf numFmtId="0" fontId="6" fillId="0" borderId="1" xfId="0" applyFont="1" applyBorder="1" applyAlignment="1">
      <alignment vertical="top" wrapText="1"/>
    </xf>
    <xf numFmtId="3" fontId="6" fillId="0" borderId="1" xfId="0" applyNumberFormat="1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0" borderId="4" xfId="2" applyFont="1" applyBorder="1"/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5" fillId="0" borderId="5" xfId="2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13" xfId="0" applyFont="1" applyBorder="1"/>
    <xf numFmtId="0" fontId="10" fillId="0" borderId="0" xfId="0" applyFont="1"/>
    <xf numFmtId="0" fontId="9" fillId="0" borderId="11" xfId="0" applyFont="1" applyBorder="1"/>
    <xf numFmtId="0" fontId="11" fillId="0" borderId="0" xfId="0" applyFont="1"/>
    <xf numFmtId="0" fontId="9" fillId="0" borderId="0" xfId="0" applyFont="1"/>
    <xf numFmtId="0" fontId="12" fillId="0" borderId="2" xfId="0" applyFont="1" applyBorder="1"/>
    <xf numFmtId="1" fontId="8" fillId="0" borderId="2" xfId="0" applyNumberFormat="1" applyFont="1" applyBorder="1"/>
    <xf numFmtId="0" fontId="13" fillId="2" borderId="2" xfId="0" applyFont="1" applyFill="1" applyBorder="1" applyAlignment="1">
      <alignment horizontal="center" vertical="center"/>
    </xf>
    <xf numFmtId="0" fontId="14" fillId="7" borderId="2" xfId="0" applyFont="1" applyFill="1" applyBorder="1"/>
    <xf numFmtId="1" fontId="14" fillId="7" borderId="2" xfId="0" applyNumberFormat="1" applyFont="1" applyFill="1" applyBorder="1" applyAlignment="1">
      <alignment horizontal="center"/>
    </xf>
    <xf numFmtId="3" fontId="8" fillId="0" borderId="2" xfId="0" applyNumberFormat="1" applyFont="1" applyBorder="1"/>
    <xf numFmtId="0" fontId="14" fillId="8" borderId="2" xfId="0" applyFont="1" applyFill="1" applyBorder="1"/>
    <xf numFmtId="1" fontId="14" fillId="8" borderId="2" xfId="0" applyNumberFormat="1" applyFont="1" applyFill="1" applyBorder="1" applyAlignment="1">
      <alignment horizontal="center"/>
    </xf>
    <xf numFmtId="0" fontId="14" fillId="9" borderId="2" xfId="0" applyFont="1" applyFill="1" applyBorder="1" applyAlignment="1">
      <alignment horizontal="left"/>
    </xf>
    <xf numFmtId="3" fontId="14" fillId="9" borderId="2" xfId="0" applyNumberFormat="1" applyFont="1" applyFill="1" applyBorder="1" applyAlignment="1">
      <alignment horizontal="center"/>
    </xf>
    <xf numFmtId="164" fontId="14" fillId="9" borderId="2" xfId="0" applyNumberFormat="1" applyFont="1" applyFill="1" applyBorder="1" applyAlignment="1">
      <alignment horizontal="center"/>
    </xf>
    <xf numFmtId="0" fontId="14" fillId="11" borderId="2" xfId="0" applyFont="1" applyFill="1" applyBorder="1" applyAlignment="1">
      <alignment horizontal="left"/>
    </xf>
    <xf numFmtId="3" fontId="14" fillId="11" borderId="2" xfId="0" applyNumberFormat="1" applyFont="1" applyFill="1" applyBorder="1" applyAlignment="1">
      <alignment horizontal="center"/>
    </xf>
    <xf numFmtId="164" fontId="14" fillId="11" borderId="2" xfId="0" applyNumberFormat="1" applyFont="1" applyFill="1" applyBorder="1" applyAlignment="1">
      <alignment horizontal="center"/>
    </xf>
    <xf numFmtId="0" fontId="14" fillId="10" borderId="2" xfId="0" applyFont="1" applyFill="1" applyBorder="1" applyAlignment="1">
      <alignment horizontal="left"/>
    </xf>
    <xf numFmtId="3" fontId="14" fillId="10" borderId="2" xfId="0" applyNumberFormat="1" applyFont="1" applyFill="1" applyBorder="1" applyAlignment="1">
      <alignment horizontal="center"/>
    </xf>
    <xf numFmtId="164" fontId="14" fillId="10" borderId="2" xfId="0" applyNumberFormat="1" applyFont="1" applyFill="1" applyBorder="1" applyAlignment="1">
      <alignment horizontal="center"/>
    </xf>
    <xf numFmtId="0" fontId="15" fillId="0" borderId="0" xfId="0" applyFont="1"/>
    <xf numFmtId="0" fontId="14" fillId="0" borderId="2" xfId="0" applyFont="1" applyBorder="1" applyAlignment="1">
      <alignment horizontal="left"/>
    </xf>
    <xf numFmtId="3" fontId="14" fillId="0" borderId="2" xfId="0" applyNumberFormat="1" applyFont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0" fontId="14" fillId="0" borderId="15" xfId="0" applyFont="1" applyBorder="1" applyAlignment="1">
      <alignment horizontal="left"/>
    </xf>
    <xf numFmtId="3" fontId="14" fillId="0" borderId="15" xfId="0" applyNumberFormat="1" applyFont="1" applyBorder="1" applyAlignment="1">
      <alignment horizontal="center"/>
    </xf>
    <xf numFmtId="164" fontId="14" fillId="0" borderId="15" xfId="0" applyNumberFormat="1" applyFont="1" applyBorder="1" applyAlignment="1">
      <alignment horizontal="center"/>
    </xf>
    <xf numFmtId="0" fontId="12" fillId="8" borderId="2" xfId="0" applyFont="1" applyFill="1" applyBorder="1"/>
    <xf numFmtId="1" fontId="12" fillId="8" borderId="2" xfId="0" applyNumberFormat="1" applyFont="1" applyFill="1" applyBorder="1" applyAlignment="1">
      <alignment horizontal="center"/>
    </xf>
    <xf numFmtId="0" fontId="19" fillId="0" borderId="0" xfId="0" applyFont="1"/>
    <xf numFmtId="0" fontId="9" fillId="0" borderId="11" xfId="0" applyFont="1" applyBorder="1" applyAlignment="1">
      <alignment wrapText="1"/>
    </xf>
    <xf numFmtId="0" fontId="9" fillId="0" borderId="11" xfId="0" applyFont="1" applyBorder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8" fillId="18" borderId="0" xfId="0" applyFont="1" applyFill="1" applyAlignment="1">
      <alignment horizontal="center"/>
    </xf>
    <xf numFmtId="0" fontId="9" fillId="18" borderId="0" xfId="0" applyFont="1" applyFill="1" applyAlignment="1">
      <alignment horizontal="center"/>
    </xf>
    <xf numFmtId="0" fontId="8" fillId="12" borderId="0" xfId="0" applyFont="1" applyFill="1"/>
    <xf numFmtId="0" fontId="9" fillId="13" borderId="0" xfId="0" applyFont="1" applyFill="1"/>
    <xf numFmtId="0" fontId="8" fillId="6" borderId="0" xfId="0" applyFont="1" applyFill="1"/>
    <xf numFmtId="0" fontId="9" fillId="0" borderId="0" xfId="0" applyFont="1"/>
    <xf numFmtId="0" fontId="8" fillId="14" borderId="0" xfId="0" applyFont="1" applyFill="1"/>
    <xf numFmtId="0" fontId="16" fillId="16" borderId="0" xfId="0" applyFont="1" applyFill="1"/>
    <xf numFmtId="0" fontId="17" fillId="17" borderId="0" xfId="0" applyFont="1" applyFill="1"/>
    <xf numFmtId="0" fontId="18" fillId="0" borderId="17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20" fillId="15" borderId="16" xfId="0" applyFont="1" applyFill="1" applyBorder="1" applyAlignment="1">
      <alignment horizontal="center"/>
    </xf>
    <xf numFmtId="0" fontId="20" fillId="15" borderId="0" xfId="0" applyFont="1" applyFill="1" applyAlignment="1">
      <alignment horizontal="center"/>
    </xf>
    <xf numFmtId="0" fontId="20" fillId="15" borderId="14" xfId="0" applyFont="1" applyFill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67E1D52D-2AF4-4518-A924-9509043995A2}"/>
    <cellStyle name="Normal 3" xfId="1" xr:uid="{268D8733-BC37-4B35-A979-829480EDA489}"/>
  </cellStyles>
  <dxfs count="0"/>
  <tableStyles count="0" defaultTableStyle="TableStyleMedium9" defaultPivotStyle="PivotStyleLight16"/>
  <colors>
    <mruColors>
      <color rgb="FFC6D6E8"/>
      <color rgb="FF9FBBD9"/>
      <color rgb="FFB2C8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2"/>
  <sheetViews>
    <sheetView showGridLines="0" tabSelected="1" zoomScale="40" zoomScaleNormal="40" workbookViewId="0">
      <selection activeCell="C3" sqref="C3:H3"/>
    </sheetView>
  </sheetViews>
  <sheetFormatPr defaultColWidth="8.81640625" defaultRowHeight="23.5"/>
  <cols>
    <col min="1" max="1" width="3.6328125" style="1" customWidth="1"/>
    <col min="2" max="2" width="1.6328125" style="1" customWidth="1"/>
    <col min="3" max="3" width="63.6328125" style="1" bestFit="1" customWidth="1"/>
    <col min="4" max="4" width="21" style="1" bestFit="1" customWidth="1"/>
    <col min="5" max="5" width="22.1796875" style="1" bestFit="1" customWidth="1"/>
    <col min="6" max="6" width="35.54296875" style="1" bestFit="1" customWidth="1"/>
    <col min="7" max="7" width="3" style="1" customWidth="1"/>
    <col min="8" max="8" width="49.6328125" style="1" bestFit="1" customWidth="1"/>
    <col min="9" max="9" width="19.453125" style="1" customWidth="1"/>
    <col min="10" max="10" width="2.6328125" style="1" customWidth="1"/>
    <col min="11" max="16384" width="8.81640625" style="1"/>
  </cols>
  <sheetData>
    <row r="1" spans="2:10" ht="21.5" customHeight="1" thickBot="1"/>
    <row r="2" spans="2:10" ht="7.5" customHeight="1" thickTop="1">
      <c r="B2" s="11"/>
      <c r="C2" s="12"/>
      <c r="D2" s="12"/>
      <c r="E2" s="12"/>
      <c r="F2" s="12"/>
      <c r="G2" s="12"/>
      <c r="H2" s="12"/>
      <c r="I2" s="12"/>
      <c r="J2" s="13"/>
    </row>
    <row r="3" spans="2:10" ht="25" customHeight="1">
      <c r="B3" s="14"/>
      <c r="C3" s="54" t="s">
        <v>132</v>
      </c>
      <c r="D3" s="55"/>
      <c r="E3" s="55"/>
      <c r="F3" s="55"/>
      <c r="G3" s="55"/>
      <c r="H3" s="55"/>
      <c r="I3" s="17" t="s">
        <v>64</v>
      </c>
      <c r="J3" s="18"/>
    </row>
    <row r="4" spans="2:10" ht="26">
      <c r="B4" s="14"/>
      <c r="C4" s="19" t="s">
        <v>114</v>
      </c>
      <c r="D4" s="20"/>
      <c r="E4" s="20"/>
      <c r="F4" s="20"/>
      <c r="G4" s="20"/>
      <c r="H4" s="20"/>
      <c r="I4" s="20"/>
      <c r="J4" s="18"/>
    </row>
    <row r="5" spans="2:10" ht="26">
      <c r="B5" s="14"/>
      <c r="C5" s="20"/>
      <c r="D5" s="20"/>
      <c r="E5" s="20"/>
      <c r="F5" s="20"/>
      <c r="G5" s="20"/>
      <c r="H5" s="20"/>
      <c r="I5" s="20"/>
      <c r="J5" s="18"/>
    </row>
    <row r="6" spans="2:10" ht="26">
      <c r="B6" s="14"/>
      <c r="C6" s="58" t="s">
        <v>120</v>
      </c>
      <c r="D6" s="59"/>
      <c r="E6" s="20"/>
      <c r="F6" s="20"/>
      <c r="G6" s="20"/>
      <c r="H6" s="58" t="s">
        <v>121</v>
      </c>
      <c r="I6" s="59"/>
      <c r="J6" s="18"/>
    </row>
    <row r="7" spans="2:10" ht="26">
      <c r="B7" s="14"/>
      <c r="C7" s="21" t="s">
        <v>0</v>
      </c>
      <c r="D7" s="22">
        <f>COUNTA('Government Agencies Pipeline'!C:C)-COUNTBLANK('Government Agencies Pipeline'!C2:C27)</f>
        <v>25</v>
      </c>
      <c r="E7" s="20"/>
      <c r="F7" s="20"/>
      <c r="G7" s="20"/>
      <c r="H7" s="23" t="s">
        <v>17</v>
      </c>
      <c r="I7" s="23" t="s">
        <v>6</v>
      </c>
      <c r="J7" s="18"/>
    </row>
    <row r="8" spans="2:10" ht="26">
      <c r="B8" s="14"/>
      <c r="C8" s="21" t="s">
        <v>94</v>
      </c>
      <c r="D8" s="22">
        <f>COUNTIF('Government Agencies Pipeline'!A2:A27,I3)</f>
        <v>18</v>
      </c>
      <c r="E8" s="20"/>
      <c r="F8" s="20"/>
      <c r="G8" s="20"/>
      <c r="H8" s="24" t="s">
        <v>25</v>
      </c>
      <c r="I8" s="25">
        <f>COUNTIFS('Government Agencies Pipeline'!D:D,'Executive Summary'!H8,'Government Agencies Pipeline'!A:A,'Executive Summary'!I$3)</f>
        <v>2</v>
      </c>
      <c r="J8" s="18"/>
    </row>
    <row r="9" spans="2:10" ht="26">
      <c r="B9" s="14"/>
      <c r="C9" s="21" t="s">
        <v>113</v>
      </c>
      <c r="D9" s="26">
        <f>SUMIF('Government Agencies Pipeline'!A:A,I3,'Government Agencies Pipeline'!J:J)</f>
        <v>14942000</v>
      </c>
      <c r="E9" s="20"/>
      <c r="F9" s="20"/>
      <c r="G9" s="20"/>
      <c r="H9" s="24" t="s">
        <v>32</v>
      </c>
      <c r="I9" s="25">
        <f>COUNTIFS('Government Agencies Pipeline'!D:D,'Executive Summary'!H9,'Government Agencies Pipeline'!A:A,'Executive Summary'!I$3)</f>
        <v>4</v>
      </c>
      <c r="J9" s="18"/>
    </row>
    <row r="10" spans="2:10" ht="26">
      <c r="B10" s="14"/>
      <c r="C10" s="21"/>
      <c r="D10" s="26"/>
      <c r="E10" s="20"/>
      <c r="F10" s="20"/>
      <c r="G10" s="20"/>
      <c r="H10" s="24" t="s">
        <v>39</v>
      </c>
      <c r="I10" s="25">
        <f>COUNTIFS('Government Agencies Pipeline'!D:D,'Executive Summary'!H10,'Government Agencies Pipeline'!A:A,'Executive Summary'!I$3)</f>
        <v>1</v>
      </c>
      <c r="J10" s="18"/>
    </row>
    <row r="11" spans="2:10" ht="26">
      <c r="B11" s="14"/>
      <c r="C11" s="20"/>
      <c r="D11" s="20"/>
      <c r="E11" s="20"/>
      <c r="F11" s="20"/>
      <c r="G11" s="20"/>
      <c r="H11" s="24" t="s">
        <v>41</v>
      </c>
      <c r="I11" s="25">
        <f>COUNTIFS('Government Agencies Pipeline'!D:D,'Executive Summary'!H11,'Government Agencies Pipeline'!A:A,'Executive Summary'!I$3)</f>
        <v>1</v>
      </c>
      <c r="J11" s="18"/>
    </row>
    <row r="12" spans="2:10" ht="26">
      <c r="B12" s="14"/>
      <c r="C12" s="20"/>
      <c r="D12" s="20"/>
      <c r="E12" s="20"/>
      <c r="F12" s="20"/>
      <c r="G12" s="20"/>
      <c r="H12" s="24" t="s">
        <v>46</v>
      </c>
      <c r="I12" s="25">
        <f>COUNTIFS('Government Agencies Pipeline'!D:D,'Executive Summary'!H12,'Government Agencies Pipeline'!A:A,'Executive Summary'!I$3)</f>
        <v>2</v>
      </c>
      <c r="J12" s="18"/>
    </row>
    <row r="13" spans="2:10" ht="26">
      <c r="B13" s="14"/>
      <c r="C13" s="56" t="s">
        <v>119</v>
      </c>
      <c r="D13" s="57"/>
      <c r="E13" s="57"/>
      <c r="F13" s="57"/>
      <c r="G13" s="20"/>
      <c r="H13" s="27" t="s">
        <v>2</v>
      </c>
      <c r="I13" s="28">
        <f>COUNTIFS('Government Agencies Pipeline'!D:D,'Executive Summary'!H13,'Government Agencies Pipeline'!A:A,'Executive Summary'!I$3)</f>
        <v>1</v>
      </c>
      <c r="J13" s="18"/>
    </row>
    <row r="14" spans="2:10" ht="26">
      <c r="B14" s="14"/>
      <c r="C14" s="23" t="s">
        <v>95</v>
      </c>
      <c r="D14" s="23" t="s">
        <v>6</v>
      </c>
      <c r="E14" s="23" t="s">
        <v>7</v>
      </c>
      <c r="F14" s="23" t="s">
        <v>8</v>
      </c>
      <c r="G14" s="20"/>
      <c r="H14" s="27" t="s">
        <v>1</v>
      </c>
      <c r="I14" s="28">
        <f>COUNTIFS('Government Agencies Pipeline'!D:D,'Executive Summary'!H14,'Government Agencies Pipeline'!A:A,'Executive Summary'!I$3)</f>
        <v>4</v>
      </c>
      <c r="J14" s="18"/>
    </row>
    <row r="15" spans="2:10" ht="26">
      <c r="B15" s="14"/>
      <c r="C15" s="29" t="s">
        <v>91</v>
      </c>
      <c r="D15" s="30">
        <f>COUNTIFS('Government Agencies Pipeline'!P:P,C15,'Government Agencies Pipeline'!A:A,'Executive Summary'!I3)</f>
        <v>7</v>
      </c>
      <c r="E15" s="31">
        <f>D15/$D$8</f>
        <v>0.3888888888888889</v>
      </c>
      <c r="F15" s="30">
        <f>SUMIFS('Government Agencies Pipeline'!J:J,'Government Agencies Pipeline'!A:A,'Executive Summary'!I3,'Government Agencies Pipeline'!P:P,'Executive Summary'!C15)</f>
        <v>2050000</v>
      </c>
      <c r="G15" s="20"/>
      <c r="H15" s="27" t="s">
        <v>3</v>
      </c>
      <c r="I15" s="28">
        <f>COUNTIFS('Government Agencies Pipeline'!D:D,'Executive Summary'!H15,'Government Agencies Pipeline'!A:A,'Executive Summary'!I$3)</f>
        <v>1</v>
      </c>
      <c r="J15" s="18"/>
    </row>
    <row r="16" spans="2:10" ht="26">
      <c r="B16" s="14"/>
      <c r="C16" s="32" t="s">
        <v>92</v>
      </c>
      <c r="D16" s="33">
        <f>COUNTIFS('Government Agencies Pipeline'!P:P,C16,'Government Agencies Pipeline'!A:A,'Executive Summary'!I3)</f>
        <v>7</v>
      </c>
      <c r="E16" s="34">
        <f>D16/$D$8</f>
        <v>0.3888888888888889</v>
      </c>
      <c r="F16" s="33">
        <f>SUMIFS('Government Agencies Pipeline'!J:J,'Government Agencies Pipeline'!A:A,'Executive Summary'!I3,'Government Agencies Pipeline'!P:P,'Executive Summary'!C16)</f>
        <v>11591000</v>
      </c>
      <c r="G16" s="20"/>
      <c r="H16" s="27" t="s">
        <v>9</v>
      </c>
      <c r="I16" s="28">
        <f>COUNTIFS('Government Agencies Pipeline'!D:D,'Executive Summary'!H16,'Government Agencies Pipeline'!A:A,'Executive Summary'!I$3)</f>
        <v>1</v>
      </c>
      <c r="J16" s="18"/>
    </row>
    <row r="17" spans="2:10" ht="26">
      <c r="B17" s="14"/>
      <c r="C17" s="35" t="s">
        <v>93</v>
      </c>
      <c r="D17" s="36">
        <f>COUNTIFS('Government Agencies Pipeline'!P:P,C17,'Government Agencies Pipeline'!A:A,'Executive Summary'!I3)</f>
        <v>2</v>
      </c>
      <c r="E17" s="37">
        <f>D17/$D$8</f>
        <v>0.1111111111111111</v>
      </c>
      <c r="F17" s="36">
        <f>SUMIFS('Government Agencies Pipeline'!J:J,'Government Agencies Pipeline'!A:A,'Executive Summary'!I3,'Government Agencies Pipeline'!P:P,'Executive Summary'!C17)</f>
        <v>1200000</v>
      </c>
      <c r="G17" s="20"/>
      <c r="H17" s="27" t="s">
        <v>4</v>
      </c>
      <c r="I17" s="28">
        <f>COUNTIFS('Government Agencies Pipeline'!D:D,'Executive Summary'!H17,'Government Agencies Pipeline'!A:A,'Executive Summary'!I$3)</f>
        <v>1</v>
      </c>
      <c r="J17" s="18"/>
    </row>
    <row r="18" spans="2:10" ht="26">
      <c r="B18" s="14"/>
      <c r="C18" s="38" t="s">
        <v>115</v>
      </c>
      <c r="D18" s="20"/>
      <c r="E18" s="20"/>
      <c r="F18" s="20"/>
      <c r="G18" s="20"/>
      <c r="H18" s="23" t="s">
        <v>123</v>
      </c>
      <c r="I18" s="23">
        <f>SUM(I8:I17)</f>
        <v>18</v>
      </c>
      <c r="J18" s="18"/>
    </row>
    <row r="19" spans="2:10" ht="26">
      <c r="B19" s="14"/>
      <c r="C19" s="60" t="s">
        <v>118</v>
      </c>
      <c r="D19" s="57"/>
      <c r="E19" s="57"/>
      <c r="F19" s="57"/>
      <c r="G19" s="20"/>
      <c r="H19" s="20"/>
      <c r="I19" s="20"/>
      <c r="J19" s="18"/>
    </row>
    <row r="20" spans="2:10" ht="26">
      <c r="B20" s="14"/>
      <c r="C20" s="23" t="s">
        <v>14</v>
      </c>
      <c r="D20" s="23" t="s">
        <v>6</v>
      </c>
      <c r="E20" s="23" t="s">
        <v>7</v>
      </c>
      <c r="F20" s="23" t="s">
        <v>8</v>
      </c>
      <c r="G20" s="20"/>
      <c r="H20" s="61" t="s">
        <v>117</v>
      </c>
      <c r="I20" s="62"/>
      <c r="J20" s="18"/>
    </row>
    <row r="21" spans="2:10" ht="26">
      <c r="B21" s="14"/>
      <c r="C21" s="39" t="s">
        <v>10</v>
      </c>
      <c r="D21" s="40">
        <f>COUNTIFS('Government Agencies Pipeline'!A:A,'Executive Summary'!I3,'Government Agencies Pipeline'!O:O,'Executive Summary'!C21)</f>
        <v>9</v>
      </c>
      <c r="E21" s="41">
        <f>D21/$D$8</f>
        <v>0.5</v>
      </c>
      <c r="F21" s="40">
        <f>SUMIFS('Government Agencies Pipeline'!J:J,'Government Agencies Pipeline'!A:A,'Executive Summary'!I3,'Government Agencies Pipeline'!O:O,'Executive Summary'!C21)</f>
        <v>12791000</v>
      </c>
      <c r="G21" s="20"/>
      <c r="H21" s="21" t="s">
        <v>122</v>
      </c>
      <c r="I21" s="42">
        <f>COUNTIFS('Government Agencies Pipeline'!N:N,"Yes",'Government Agencies Pipeline'!A:A,'Executive Summary'!I3)</f>
        <v>6</v>
      </c>
      <c r="J21" s="18"/>
    </row>
    <row r="22" spans="2:10" ht="26">
      <c r="B22" s="14"/>
      <c r="C22" s="39" t="s">
        <v>12</v>
      </c>
      <c r="D22" s="40">
        <f>COUNTIFS('Government Agencies Pipeline'!A:A,'Executive Summary'!I3,'Government Agencies Pipeline'!O:O,'Executive Summary'!C22)</f>
        <v>6</v>
      </c>
      <c r="E22" s="41">
        <f>D22/$D$8</f>
        <v>0.33333333333333331</v>
      </c>
      <c r="F22" s="40">
        <f>SUMIFS('Government Agencies Pipeline'!J:J,'Government Agencies Pipeline'!A:A,'Executive Summary'!I3,'Government Agencies Pipeline'!O:O,'Executive Summary'!C22)</f>
        <v>1850000</v>
      </c>
      <c r="G22" s="20"/>
      <c r="H22" s="21" t="s">
        <v>96</v>
      </c>
      <c r="I22" s="42">
        <f>COUNTIFS('Government Agencies Pipeline'!N:N,"No",'Government Agencies Pipeline'!A:A,'Executive Summary'!I3)</f>
        <v>12</v>
      </c>
      <c r="J22" s="18"/>
    </row>
    <row r="23" spans="2:10" ht="26">
      <c r="B23" s="14"/>
      <c r="C23" s="43" t="s">
        <v>13</v>
      </c>
      <c r="D23" s="44">
        <f>COUNTIFS('Government Agencies Pipeline'!A:A,'Executive Summary'!I3,'Government Agencies Pipeline'!O:O,'Executive Summary'!C23)</f>
        <v>3</v>
      </c>
      <c r="E23" s="45">
        <f>D23/$D$8</f>
        <v>0.16666666666666666</v>
      </c>
      <c r="F23" s="44">
        <f>SUMIFS('Government Agencies Pipeline'!J:J,'Government Agencies Pipeline'!A:A,'Executive Summary'!I3,'Government Agencies Pipeline'!O:O,'Executive Summary'!C23)</f>
        <v>301000</v>
      </c>
      <c r="G23" s="20"/>
      <c r="H23" s="46" t="s">
        <v>123</v>
      </c>
      <c r="I23" s="47">
        <f>SUM(I21:I22)</f>
        <v>18</v>
      </c>
      <c r="J23" s="18"/>
    </row>
    <row r="24" spans="2:10" ht="26">
      <c r="B24" s="14"/>
      <c r="C24" s="63" t="s">
        <v>124</v>
      </c>
      <c r="D24" s="64"/>
      <c r="E24" s="64"/>
      <c r="F24" s="65"/>
      <c r="G24" s="20"/>
      <c r="H24" s="20"/>
      <c r="I24" s="20"/>
      <c r="J24" s="18"/>
    </row>
    <row r="25" spans="2:10" ht="26">
      <c r="B25" s="14"/>
      <c r="C25" s="48"/>
      <c r="D25" s="48"/>
      <c r="E25" s="48"/>
      <c r="F25" s="48"/>
      <c r="G25" s="20"/>
      <c r="H25" s="20"/>
      <c r="I25" s="20"/>
      <c r="J25" s="18"/>
    </row>
    <row r="26" spans="2:10" ht="26">
      <c r="B26" s="14"/>
      <c r="C26" s="66" t="s">
        <v>116</v>
      </c>
      <c r="D26" s="67"/>
      <c r="E26" s="67"/>
      <c r="F26" s="67"/>
      <c r="G26" s="67"/>
      <c r="H26" s="67"/>
      <c r="I26" s="68"/>
      <c r="J26" s="18"/>
    </row>
    <row r="27" spans="2:10" ht="26">
      <c r="B27" s="14"/>
      <c r="C27" s="51" t="s">
        <v>125</v>
      </c>
      <c r="D27" s="51"/>
      <c r="E27" s="51"/>
      <c r="F27" s="51"/>
      <c r="G27" s="51"/>
      <c r="H27" s="51"/>
      <c r="I27" s="51"/>
      <c r="J27" s="49"/>
    </row>
    <row r="28" spans="2:10" ht="26">
      <c r="B28" s="14"/>
      <c r="C28" s="51" t="s">
        <v>127</v>
      </c>
      <c r="D28" s="51"/>
      <c r="E28" s="51"/>
      <c r="F28" s="51"/>
      <c r="G28" s="51"/>
      <c r="H28" s="51"/>
      <c r="I28" s="51"/>
      <c r="J28" s="18"/>
    </row>
    <row r="29" spans="2:10" ht="66" customHeight="1">
      <c r="B29" s="14"/>
      <c r="C29" s="51" t="s">
        <v>128</v>
      </c>
      <c r="D29" s="51"/>
      <c r="E29" s="51"/>
      <c r="F29" s="51"/>
      <c r="G29" s="51"/>
      <c r="H29" s="51"/>
      <c r="I29" s="51"/>
      <c r="J29" s="18"/>
    </row>
    <row r="30" spans="2:10" ht="26">
      <c r="B30" s="14"/>
      <c r="C30" s="53" t="s">
        <v>129</v>
      </c>
      <c r="D30" s="53"/>
      <c r="E30" s="53"/>
      <c r="F30" s="53"/>
      <c r="G30" s="53"/>
      <c r="H30" s="53"/>
      <c r="I30" s="53"/>
      <c r="J30" s="50"/>
    </row>
    <row r="31" spans="2:10" ht="26">
      <c r="B31" s="14"/>
      <c r="C31" s="51" t="s">
        <v>130</v>
      </c>
      <c r="D31" s="51"/>
      <c r="E31" s="51"/>
      <c r="F31" s="51"/>
      <c r="G31" s="51"/>
      <c r="H31" s="51"/>
      <c r="I31" s="51"/>
      <c r="J31" s="50"/>
    </row>
    <row r="32" spans="2:10" ht="51" customHeight="1">
      <c r="B32" s="14"/>
      <c r="C32" s="51" t="s">
        <v>131</v>
      </c>
      <c r="D32" s="51"/>
      <c r="E32" s="51"/>
      <c r="F32" s="51"/>
      <c r="G32" s="51"/>
      <c r="H32" s="51"/>
      <c r="I32" s="51"/>
      <c r="J32" s="50"/>
    </row>
    <row r="33" spans="2:10" ht="26">
      <c r="B33" s="14"/>
      <c r="C33" s="51" t="s">
        <v>126</v>
      </c>
      <c r="D33" s="51"/>
      <c r="E33" s="51"/>
      <c r="F33" s="51"/>
      <c r="G33" s="51"/>
      <c r="H33" s="51"/>
      <c r="I33" s="51"/>
      <c r="J33" s="18"/>
    </row>
    <row r="34" spans="2:10" ht="6.5" customHeight="1" thickBot="1">
      <c r="B34" s="15"/>
      <c r="C34" s="52"/>
      <c r="D34" s="52"/>
      <c r="E34" s="52"/>
      <c r="F34" s="52"/>
      <c r="G34" s="52"/>
      <c r="H34" s="52"/>
      <c r="I34" s="52"/>
      <c r="J34" s="16"/>
    </row>
    <row r="35" spans="2:10" ht="24" thickTop="1"/>
    <row r="36" spans="2:10">
      <c r="C36" s="69"/>
      <c r="D36" s="69"/>
      <c r="E36" s="69"/>
      <c r="F36" s="69"/>
      <c r="G36" s="69"/>
      <c r="H36" s="69"/>
      <c r="I36" s="69"/>
    </row>
    <row r="37" spans="2:10">
      <c r="C37" s="69"/>
      <c r="D37" s="69"/>
      <c r="E37" s="69"/>
      <c r="F37" s="69"/>
      <c r="G37" s="69"/>
      <c r="H37" s="69"/>
      <c r="I37" s="69"/>
    </row>
    <row r="38" spans="2:10">
      <c r="C38" s="69"/>
      <c r="D38" s="69"/>
      <c r="E38" s="69"/>
      <c r="F38" s="69"/>
      <c r="G38" s="69"/>
      <c r="H38" s="69"/>
      <c r="I38" s="69"/>
    </row>
    <row r="39" spans="2:10">
      <c r="C39" s="70"/>
      <c r="D39" s="69"/>
      <c r="E39" s="69"/>
      <c r="F39" s="69"/>
      <c r="G39" s="69"/>
      <c r="H39" s="69"/>
      <c r="I39" s="69"/>
    </row>
    <row r="40" spans="2:10">
      <c r="C40" s="69"/>
      <c r="D40" s="69"/>
      <c r="E40" s="69"/>
      <c r="F40" s="69"/>
      <c r="G40" s="69"/>
      <c r="H40" s="69"/>
      <c r="I40" s="69"/>
    </row>
    <row r="41" spans="2:10">
      <c r="C41" s="69"/>
      <c r="D41" s="69"/>
      <c r="E41" s="69"/>
      <c r="F41" s="69"/>
      <c r="G41" s="69"/>
      <c r="H41" s="69"/>
      <c r="I41" s="69"/>
    </row>
    <row r="42" spans="2:10">
      <c r="C42" s="69"/>
      <c r="D42" s="69"/>
      <c r="E42" s="69"/>
      <c r="F42" s="69"/>
      <c r="G42" s="69"/>
      <c r="H42" s="69"/>
      <c r="I42" s="69"/>
    </row>
  </sheetData>
  <mergeCells count="23">
    <mergeCell ref="C41:I41"/>
    <mergeCell ref="C42:I42"/>
    <mergeCell ref="C36:I36"/>
    <mergeCell ref="C37:I37"/>
    <mergeCell ref="C38:I38"/>
    <mergeCell ref="C39:I39"/>
    <mergeCell ref="C40:I40"/>
    <mergeCell ref="H20:I20"/>
    <mergeCell ref="C24:F24"/>
    <mergeCell ref="C26:I26"/>
    <mergeCell ref="C27:I27"/>
    <mergeCell ref="C28:I28"/>
    <mergeCell ref="C3:H3"/>
    <mergeCell ref="C13:F13"/>
    <mergeCell ref="C6:D6"/>
    <mergeCell ref="H6:I6"/>
    <mergeCell ref="C19:F19"/>
    <mergeCell ref="C33:I33"/>
    <mergeCell ref="C34:I34"/>
    <mergeCell ref="C32:I32"/>
    <mergeCell ref="C29:I29"/>
    <mergeCell ref="C30:I30"/>
    <mergeCell ref="C31:I3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BB7E32-551F-4F63-98B7-121F35D8DB51}">
          <x14:formula1>
            <xm:f>'Government Agencies Pipeline'!$A$2:$A$26</xm:f>
          </x14:formula1>
          <xm:sqref>I3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zoomScale="70" zoomScaleNormal="70" workbookViewId="0">
      <pane xSplit="4" ySplit="1" topLeftCell="E4" activePane="bottomRight" state="frozen"/>
      <selection pane="topRight" activeCell="E1" sqref="E1"/>
      <selection pane="bottomLeft" activeCell="A2" sqref="A2"/>
      <selection pane="bottomRight" activeCell="F26" sqref="F26"/>
    </sheetView>
  </sheetViews>
  <sheetFormatPr defaultColWidth="8.81640625" defaultRowHeight="23.5"/>
  <cols>
    <col min="1" max="1" width="8.81640625" style="1"/>
    <col min="2" max="2" width="6" style="1" customWidth="1"/>
    <col min="3" max="3" width="30" style="1" customWidth="1"/>
    <col min="4" max="4" width="20.1796875" style="1" bestFit="1" customWidth="1"/>
    <col min="5" max="5" width="19.1796875" style="1" bestFit="1" customWidth="1"/>
    <col min="6" max="6" width="37.1796875" style="1" customWidth="1"/>
    <col min="7" max="7" width="23.36328125" style="1" bestFit="1" customWidth="1"/>
    <col min="8" max="8" width="18.453125" style="1" bestFit="1" customWidth="1"/>
    <col min="9" max="9" width="17.81640625" style="1" bestFit="1" customWidth="1"/>
    <col min="10" max="10" width="20.81640625" style="1" bestFit="1" customWidth="1"/>
    <col min="11" max="11" width="18.453125" style="1" bestFit="1" customWidth="1"/>
    <col min="12" max="12" width="22.453125" style="1" bestFit="1" customWidth="1"/>
    <col min="13" max="13" width="21.1796875" style="1" bestFit="1" customWidth="1"/>
    <col min="14" max="14" width="18.453125" style="1" bestFit="1" customWidth="1"/>
    <col min="15" max="15" width="17" style="1" bestFit="1" customWidth="1"/>
    <col min="16" max="16" width="20.36328125" style="1" bestFit="1" customWidth="1"/>
    <col min="17" max="17" width="50" style="1" customWidth="1"/>
    <col min="18" max="16384" width="8.81640625" style="1"/>
  </cols>
  <sheetData>
    <row r="1" spans="1:17" ht="69">
      <c r="A1" s="1" t="s">
        <v>63</v>
      </c>
      <c r="B1" s="2" t="s">
        <v>15</v>
      </c>
      <c r="C1" s="2" t="s">
        <v>16</v>
      </c>
      <c r="D1" s="2" t="s">
        <v>17</v>
      </c>
      <c r="E1" s="2" t="s">
        <v>66</v>
      </c>
      <c r="F1" s="2" t="s">
        <v>67</v>
      </c>
      <c r="G1" s="2" t="s">
        <v>81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88</v>
      </c>
      <c r="M1" s="2" t="s">
        <v>22</v>
      </c>
      <c r="N1" s="2" t="s">
        <v>23</v>
      </c>
      <c r="O1" s="2" t="s">
        <v>5</v>
      </c>
      <c r="P1" s="2" t="s">
        <v>89</v>
      </c>
      <c r="Q1" s="2" t="s">
        <v>90</v>
      </c>
    </row>
    <row r="2" spans="1:17" ht="409.5">
      <c r="A2" s="3" t="s">
        <v>64</v>
      </c>
      <c r="B2" s="4">
        <v>1</v>
      </c>
      <c r="C2" s="4" t="s">
        <v>24</v>
      </c>
      <c r="D2" s="4" t="s">
        <v>25</v>
      </c>
      <c r="E2" s="4" t="s">
        <v>68</v>
      </c>
      <c r="F2" s="4" t="s">
        <v>69</v>
      </c>
      <c r="G2" s="4" t="s">
        <v>82</v>
      </c>
      <c r="H2" s="4" t="s">
        <v>26</v>
      </c>
      <c r="I2" s="4" t="s">
        <v>27</v>
      </c>
      <c r="J2" s="5">
        <v>5000000</v>
      </c>
      <c r="K2" s="4" t="s">
        <v>10</v>
      </c>
      <c r="L2" s="4" t="s">
        <v>28</v>
      </c>
      <c r="M2" s="4" t="s">
        <v>29</v>
      </c>
      <c r="N2" s="4" t="s">
        <v>28</v>
      </c>
      <c r="O2" s="6" t="s">
        <v>10</v>
      </c>
      <c r="P2" s="4" t="s">
        <v>92</v>
      </c>
      <c r="Q2" s="4" t="s">
        <v>97</v>
      </c>
    </row>
    <row r="3" spans="1:17" ht="409.5">
      <c r="A3" s="7" t="s">
        <v>64</v>
      </c>
      <c r="B3" s="4">
        <v>2</v>
      </c>
      <c r="C3" s="4" t="s">
        <v>30</v>
      </c>
      <c r="D3" s="4" t="s">
        <v>25</v>
      </c>
      <c r="E3" s="4" t="s">
        <v>68</v>
      </c>
      <c r="F3" s="4" t="s">
        <v>69</v>
      </c>
      <c r="G3" s="4" t="s">
        <v>82</v>
      </c>
      <c r="H3" s="4" t="s">
        <v>26</v>
      </c>
      <c r="I3" s="4" t="s">
        <v>27</v>
      </c>
      <c r="J3" s="4">
        <v>50000</v>
      </c>
      <c r="K3" s="4" t="s">
        <v>12</v>
      </c>
      <c r="L3" s="4" t="s">
        <v>28</v>
      </c>
      <c r="M3" s="4" t="s">
        <v>29</v>
      </c>
      <c r="N3" s="4" t="s">
        <v>28</v>
      </c>
      <c r="O3" s="8" t="s">
        <v>12</v>
      </c>
      <c r="P3" s="4" t="s">
        <v>91</v>
      </c>
      <c r="Q3" s="4" t="s">
        <v>98</v>
      </c>
    </row>
    <row r="4" spans="1:17" ht="225">
      <c r="A4" s="7" t="s">
        <v>64</v>
      </c>
      <c r="B4" s="4">
        <v>3</v>
      </c>
      <c r="C4" s="4" t="s">
        <v>31</v>
      </c>
      <c r="D4" s="4" t="s">
        <v>32</v>
      </c>
      <c r="E4" s="4" t="s">
        <v>68</v>
      </c>
      <c r="F4" s="4" t="s">
        <v>70</v>
      </c>
      <c r="G4" s="4" t="s">
        <v>83</v>
      </c>
      <c r="H4" s="4" t="s">
        <v>26</v>
      </c>
      <c r="I4" s="4" t="s">
        <v>33</v>
      </c>
      <c r="J4" s="4">
        <v>1000000</v>
      </c>
      <c r="K4" s="4" t="s">
        <v>10</v>
      </c>
      <c r="L4" s="4" t="s">
        <v>28</v>
      </c>
      <c r="M4" s="4" t="s">
        <v>29</v>
      </c>
      <c r="N4" s="4" t="s">
        <v>28</v>
      </c>
      <c r="O4" s="6" t="s">
        <v>10</v>
      </c>
      <c r="P4" s="4" t="s">
        <v>93</v>
      </c>
      <c r="Q4" s="4" t="s">
        <v>99</v>
      </c>
    </row>
    <row r="5" spans="1:17" ht="67.5">
      <c r="A5" s="7" t="s">
        <v>64</v>
      </c>
      <c r="B5" s="4">
        <v>4</v>
      </c>
      <c r="C5" s="4" t="s">
        <v>34</v>
      </c>
      <c r="D5" s="4" t="s">
        <v>32</v>
      </c>
      <c r="E5" s="4" t="s">
        <v>68</v>
      </c>
      <c r="F5" s="4" t="s">
        <v>71</v>
      </c>
      <c r="G5" s="4" t="s">
        <v>84</v>
      </c>
      <c r="H5" s="4" t="s">
        <v>28</v>
      </c>
      <c r="I5" s="4" t="s">
        <v>33</v>
      </c>
      <c r="J5" s="5">
        <v>200000</v>
      </c>
      <c r="K5" s="4" t="s">
        <v>10</v>
      </c>
      <c r="L5" s="4" t="s">
        <v>28</v>
      </c>
      <c r="M5" s="4" t="s">
        <v>29</v>
      </c>
      <c r="N5" s="4" t="s">
        <v>28</v>
      </c>
      <c r="O5" s="9" t="s">
        <v>13</v>
      </c>
      <c r="P5" s="4" t="s">
        <v>91</v>
      </c>
      <c r="Q5" s="4"/>
    </row>
    <row r="6" spans="1:17" ht="135">
      <c r="A6" s="7" t="s">
        <v>64</v>
      </c>
      <c r="B6" s="4">
        <v>5</v>
      </c>
      <c r="C6" s="4" t="s">
        <v>35</v>
      </c>
      <c r="D6" s="4" t="s">
        <v>32</v>
      </c>
      <c r="E6" s="4" t="s">
        <v>68</v>
      </c>
      <c r="F6" s="4" t="s">
        <v>72</v>
      </c>
      <c r="G6" s="4" t="s">
        <v>82</v>
      </c>
      <c r="H6" s="4" t="s">
        <v>26</v>
      </c>
      <c r="I6" s="4" t="s">
        <v>27</v>
      </c>
      <c r="J6" s="5">
        <v>450000</v>
      </c>
      <c r="K6" s="4" t="s">
        <v>10</v>
      </c>
      <c r="L6" s="4" t="s">
        <v>28</v>
      </c>
      <c r="M6" s="4" t="s">
        <v>36</v>
      </c>
      <c r="N6" s="4" t="s">
        <v>28</v>
      </c>
      <c r="O6" s="8" t="s">
        <v>12</v>
      </c>
      <c r="P6" s="4" t="s">
        <v>91</v>
      </c>
      <c r="Q6" s="4" t="s">
        <v>100</v>
      </c>
    </row>
    <row r="7" spans="1:17" ht="90">
      <c r="A7" s="7" t="s">
        <v>64</v>
      </c>
      <c r="B7" s="4">
        <v>6</v>
      </c>
      <c r="C7" s="4" t="s">
        <v>37</v>
      </c>
      <c r="D7" s="4" t="s">
        <v>32</v>
      </c>
      <c r="E7" s="4" t="s">
        <v>68</v>
      </c>
      <c r="F7" s="4" t="s">
        <v>73</v>
      </c>
      <c r="G7" s="4" t="s">
        <v>73</v>
      </c>
      <c r="H7" s="4"/>
      <c r="I7" s="4" t="s">
        <v>73</v>
      </c>
      <c r="J7" s="4">
        <v>1000</v>
      </c>
      <c r="K7" s="4" t="s">
        <v>13</v>
      </c>
      <c r="L7" s="4" t="s">
        <v>26</v>
      </c>
      <c r="M7" s="4" t="s">
        <v>73</v>
      </c>
      <c r="N7" s="4" t="s">
        <v>28</v>
      </c>
      <c r="O7" s="9" t="s">
        <v>13</v>
      </c>
      <c r="P7" s="4"/>
      <c r="Q7" s="4" t="s">
        <v>101</v>
      </c>
    </row>
    <row r="8" spans="1:17" ht="67.5">
      <c r="A8" s="7" t="s">
        <v>64</v>
      </c>
      <c r="B8" s="4">
        <v>7</v>
      </c>
      <c r="C8" s="4" t="s">
        <v>38</v>
      </c>
      <c r="D8" s="4" t="s">
        <v>39</v>
      </c>
      <c r="E8" s="4" t="s">
        <v>68</v>
      </c>
      <c r="F8" s="4" t="s">
        <v>71</v>
      </c>
      <c r="G8" s="4" t="s">
        <v>84</v>
      </c>
      <c r="H8" s="4" t="s">
        <v>26</v>
      </c>
      <c r="I8" s="4" t="s">
        <v>27</v>
      </c>
      <c r="J8" s="5">
        <v>50000</v>
      </c>
      <c r="K8" s="4" t="s">
        <v>12</v>
      </c>
      <c r="L8" s="4" t="s">
        <v>28</v>
      </c>
      <c r="M8" s="4" t="s">
        <v>36</v>
      </c>
      <c r="N8" s="4" t="s">
        <v>28</v>
      </c>
      <c r="O8" s="8" t="s">
        <v>12</v>
      </c>
      <c r="P8" s="4" t="s">
        <v>91</v>
      </c>
      <c r="Q8" s="4" t="s">
        <v>102</v>
      </c>
    </row>
    <row r="9" spans="1:17" ht="45">
      <c r="A9" s="7" t="s">
        <v>65</v>
      </c>
      <c r="B9" s="4">
        <v>8</v>
      </c>
      <c r="C9" s="4" t="s">
        <v>40</v>
      </c>
      <c r="D9" s="4" t="s">
        <v>41</v>
      </c>
      <c r="E9" s="4" t="s">
        <v>68</v>
      </c>
      <c r="F9" s="4" t="s">
        <v>42</v>
      </c>
      <c r="G9" s="4" t="s">
        <v>42</v>
      </c>
      <c r="H9" s="4" t="s">
        <v>42</v>
      </c>
      <c r="I9" s="4" t="s">
        <v>87</v>
      </c>
      <c r="J9" s="4">
        <v>10000</v>
      </c>
      <c r="K9" s="4" t="s">
        <v>73</v>
      </c>
      <c r="L9" s="4" t="s">
        <v>73</v>
      </c>
      <c r="M9" s="4" t="s">
        <v>73</v>
      </c>
      <c r="N9" s="4"/>
      <c r="O9" s="8" t="s">
        <v>12</v>
      </c>
      <c r="P9" s="4"/>
      <c r="Q9" s="4"/>
    </row>
    <row r="10" spans="1:17" ht="45">
      <c r="A10" s="7" t="s">
        <v>65</v>
      </c>
      <c r="B10" s="4">
        <v>9</v>
      </c>
      <c r="C10" s="4" t="s">
        <v>43</v>
      </c>
      <c r="D10" s="4" t="s">
        <v>41</v>
      </c>
      <c r="E10" s="4" t="s">
        <v>68</v>
      </c>
      <c r="F10" s="4" t="s">
        <v>42</v>
      </c>
      <c r="G10" s="4" t="s">
        <v>42</v>
      </c>
      <c r="H10" s="4" t="s">
        <v>42</v>
      </c>
      <c r="I10" s="4" t="s">
        <v>87</v>
      </c>
      <c r="J10" s="4">
        <v>200000</v>
      </c>
      <c r="K10" s="4" t="s">
        <v>73</v>
      </c>
      <c r="L10" s="4" t="s">
        <v>73</v>
      </c>
      <c r="M10" s="4" t="s">
        <v>73</v>
      </c>
      <c r="N10" s="4"/>
      <c r="O10" s="8" t="s">
        <v>12</v>
      </c>
      <c r="P10" s="4"/>
      <c r="Q10" s="4"/>
    </row>
    <row r="11" spans="1:17" ht="112.5">
      <c r="A11" s="7" t="s">
        <v>64</v>
      </c>
      <c r="B11" s="4">
        <v>10</v>
      </c>
      <c r="C11" s="4" t="s">
        <v>44</v>
      </c>
      <c r="D11" s="4" t="s">
        <v>41</v>
      </c>
      <c r="E11" s="4" t="s">
        <v>68</v>
      </c>
      <c r="F11" s="4" t="s">
        <v>42</v>
      </c>
      <c r="G11" s="4" t="s">
        <v>85</v>
      </c>
      <c r="H11" s="4" t="s">
        <v>42</v>
      </c>
      <c r="I11" s="4" t="s">
        <v>27</v>
      </c>
      <c r="J11" s="4">
        <v>200000</v>
      </c>
      <c r="K11" s="4" t="s">
        <v>10</v>
      </c>
      <c r="L11" s="4" t="s">
        <v>73</v>
      </c>
      <c r="M11" s="4" t="s">
        <v>73</v>
      </c>
      <c r="N11" s="4" t="s">
        <v>28</v>
      </c>
      <c r="O11" s="8" t="s">
        <v>12</v>
      </c>
      <c r="P11" s="4" t="s">
        <v>91</v>
      </c>
      <c r="Q11" s="4" t="s">
        <v>103</v>
      </c>
    </row>
    <row r="12" spans="1:17" ht="90">
      <c r="A12" s="7" t="s">
        <v>64</v>
      </c>
      <c r="B12" s="4">
        <v>11</v>
      </c>
      <c r="C12" s="4" t="s">
        <v>45</v>
      </c>
      <c r="D12" s="4" t="s">
        <v>46</v>
      </c>
      <c r="E12" s="4" t="s">
        <v>68</v>
      </c>
      <c r="F12" s="4" t="s">
        <v>42</v>
      </c>
      <c r="G12" s="4" t="s">
        <v>86</v>
      </c>
      <c r="H12" s="4" t="s">
        <v>42</v>
      </c>
      <c r="I12" s="4" t="s">
        <v>27</v>
      </c>
      <c r="J12" s="4">
        <v>100000</v>
      </c>
      <c r="K12" s="4" t="s">
        <v>12</v>
      </c>
      <c r="L12" s="4" t="s">
        <v>73</v>
      </c>
      <c r="M12" s="4" t="s">
        <v>73</v>
      </c>
      <c r="N12" s="4" t="s">
        <v>28</v>
      </c>
      <c r="O12" s="9" t="s">
        <v>13</v>
      </c>
      <c r="P12" s="4"/>
      <c r="Q12" s="4" t="s">
        <v>104</v>
      </c>
    </row>
    <row r="13" spans="1:17" ht="270">
      <c r="A13" s="7" t="s">
        <v>64</v>
      </c>
      <c r="B13" s="4">
        <v>12</v>
      </c>
      <c r="C13" s="4" t="s">
        <v>47</v>
      </c>
      <c r="D13" s="4" t="s">
        <v>46</v>
      </c>
      <c r="E13" s="4" t="s">
        <v>68</v>
      </c>
      <c r="F13" s="4" t="s">
        <v>74</v>
      </c>
      <c r="G13" s="4" t="s">
        <v>82</v>
      </c>
      <c r="H13" s="4" t="s">
        <v>26</v>
      </c>
      <c r="I13" s="4" t="s">
        <v>27</v>
      </c>
      <c r="J13" s="5">
        <v>1000000</v>
      </c>
      <c r="K13" s="4" t="s">
        <v>12</v>
      </c>
      <c r="L13" s="4" t="s">
        <v>26</v>
      </c>
      <c r="M13" s="4" t="s">
        <v>29</v>
      </c>
      <c r="N13" s="4" t="s">
        <v>28</v>
      </c>
      <c r="O13" s="8" t="s">
        <v>12</v>
      </c>
      <c r="P13" s="4" t="s">
        <v>91</v>
      </c>
      <c r="Q13" s="4" t="s">
        <v>105</v>
      </c>
    </row>
    <row r="14" spans="1:17" ht="90">
      <c r="A14" s="7" t="s">
        <v>64</v>
      </c>
      <c r="B14" s="4">
        <v>13</v>
      </c>
      <c r="C14" s="4" t="s">
        <v>48</v>
      </c>
      <c r="D14" s="4" t="s">
        <v>2</v>
      </c>
      <c r="E14" s="4" t="s">
        <v>2</v>
      </c>
      <c r="F14" s="4" t="s">
        <v>75</v>
      </c>
      <c r="G14" s="4" t="s">
        <v>82</v>
      </c>
      <c r="H14" s="4" t="s">
        <v>26</v>
      </c>
      <c r="I14" s="4" t="s">
        <v>27</v>
      </c>
      <c r="J14" s="5">
        <v>200000</v>
      </c>
      <c r="K14" s="4" t="s">
        <v>10</v>
      </c>
      <c r="L14" s="4" t="s">
        <v>28</v>
      </c>
      <c r="M14" s="4" t="s">
        <v>29</v>
      </c>
      <c r="N14" s="4" t="s">
        <v>28</v>
      </c>
      <c r="O14" s="6" t="s">
        <v>10</v>
      </c>
      <c r="P14" s="4" t="s">
        <v>93</v>
      </c>
      <c r="Q14" s="4" t="s">
        <v>106</v>
      </c>
    </row>
    <row r="15" spans="1:17" ht="90">
      <c r="A15" s="7" t="s">
        <v>64</v>
      </c>
      <c r="B15" s="4">
        <v>14</v>
      </c>
      <c r="C15" s="4" t="s">
        <v>48</v>
      </c>
      <c r="D15" s="4" t="s">
        <v>1</v>
      </c>
      <c r="E15" s="4" t="s">
        <v>1</v>
      </c>
      <c r="F15" s="4" t="s">
        <v>75</v>
      </c>
      <c r="G15" s="4" t="s">
        <v>82</v>
      </c>
      <c r="H15" s="4" t="s">
        <v>26</v>
      </c>
      <c r="I15" s="4" t="s">
        <v>27</v>
      </c>
      <c r="J15" s="4">
        <v>4500000</v>
      </c>
      <c r="K15" s="4" t="s">
        <v>10</v>
      </c>
      <c r="L15" s="4" t="s">
        <v>28</v>
      </c>
      <c r="M15" s="4" t="s">
        <v>29</v>
      </c>
      <c r="N15" s="4" t="s">
        <v>26</v>
      </c>
      <c r="O15" s="4" t="s">
        <v>10</v>
      </c>
      <c r="P15" s="4" t="s">
        <v>92</v>
      </c>
      <c r="Q15" s="4" t="s">
        <v>107</v>
      </c>
    </row>
    <row r="16" spans="1:17" ht="45">
      <c r="A16" s="7" t="s">
        <v>65</v>
      </c>
      <c r="B16" s="4">
        <v>15</v>
      </c>
      <c r="C16" s="4" t="s">
        <v>49</v>
      </c>
      <c r="D16" s="4" t="s">
        <v>1</v>
      </c>
      <c r="E16" s="4" t="s">
        <v>1</v>
      </c>
      <c r="F16" s="4" t="s">
        <v>75</v>
      </c>
      <c r="G16" s="4" t="s">
        <v>82</v>
      </c>
      <c r="H16" s="4" t="s">
        <v>26</v>
      </c>
      <c r="I16" s="4" t="s">
        <v>27</v>
      </c>
      <c r="J16" s="4" t="s">
        <v>73</v>
      </c>
      <c r="K16" s="4" t="s">
        <v>73</v>
      </c>
      <c r="L16" s="4" t="s">
        <v>28</v>
      </c>
      <c r="M16" s="4" t="s">
        <v>29</v>
      </c>
      <c r="N16" s="4"/>
      <c r="O16" s="4" t="s">
        <v>10</v>
      </c>
      <c r="P16" s="4"/>
      <c r="Q16" s="4"/>
    </row>
    <row r="17" spans="1:17" ht="67.5">
      <c r="A17" s="7" t="s">
        <v>64</v>
      </c>
      <c r="B17" s="4">
        <v>16</v>
      </c>
      <c r="C17" s="4" t="s">
        <v>50</v>
      </c>
      <c r="D17" s="4" t="s">
        <v>1</v>
      </c>
      <c r="E17" s="4" t="s">
        <v>1</v>
      </c>
      <c r="F17" s="4" t="s">
        <v>71</v>
      </c>
      <c r="G17" s="4" t="s">
        <v>82</v>
      </c>
      <c r="H17" s="4" t="s">
        <v>26</v>
      </c>
      <c r="I17" s="4" t="s">
        <v>27</v>
      </c>
      <c r="J17" s="4">
        <v>100000</v>
      </c>
      <c r="K17" s="4" t="s">
        <v>12</v>
      </c>
      <c r="L17" s="4" t="s">
        <v>28</v>
      </c>
      <c r="M17" s="4" t="s">
        <v>29</v>
      </c>
      <c r="N17" s="4" t="s">
        <v>26</v>
      </c>
      <c r="O17" s="4" t="s">
        <v>12</v>
      </c>
      <c r="P17" s="4" t="s">
        <v>91</v>
      </c>
      <c r="Q17" s="4"/>
    </row>
    <row r="18" spans="1:17" ht="45">
      <c r="A18" s="7" t="s">
        <v>64</v>
      </c>
      <c r="B18" s="4">
        <v>17</v>
      </c>
      <c r="C18" s="4" t="s">
        <v>51</v>
      </c>
      <c r="D18" s="4" t="s">
        <v>1</v>
      </c>
      <c r="E18" s="4" t="s">
        <v>1</v>
      </c>
      <c r="F18" s="4" t="s">
        <v>75</v>
      </c>
      <c r="G18" s="4" t="s">
        <v>82</v>
      </c>
      <c r="H18" s="4" t="s">
        <v>26</v>
      </c>
      <c r="I18" s="4" t="s">
        <v>27</v>
      </c>
      <c r="J18" s="4">
        <v>1000</v>
      </c>
      <c r="K18" s="4" t="s">
        <v>13</v>
      </c>
      <c r="L18" s="4" t="s">
        <v>28</v>
      </c>
      <c r="M18" s="4" t="s">
        <v>29</v>
      </c>
      <c r="N18" s="4" t="s">
        <v>26</v>
      </c>
      <c r="O18" s="4" t="s">
        <v>10</v>
      </c>
      <c r="P18" s="4" t="s">
        <v>92</v>
      </c>
      <c r="Q18" s="4" t="s">
        <v>108</v>
      </c>
    </row>
    <row r="19" spans="1:17" ht="45">
      <c r="A19" s="7" t="s">
        <v>64</v>
      </c>
      <c r="B19" s="4">
        <v>18</v>
      </c>
      <c r="C19" s="4" t="s">
        <v>52</v>
      </c>
      <c r="D19" s="4" t="s">
        <v>1</v>
      </c>
      <c r="E19" s="4" t="s">
        <v>1</v>
      </c>
      <c r="F19" s="4" t="s">
        <v>75</v>
      </c>
      <c r="G19" s="4" t="s">
        <v>82</v>
      </c>
      <c r="H19" s="4" t="s">
        <v>26</v>
      </c>
      <c r="I19" s="4" t="s">
        <v>27</v>
      </c>
      <c r="J19" s="5">
        <v>40000</v>
      </c>
      <c r="K19" s="4" t="s">
        <v>13</v>
      </c>
      <c r="L19" s="4" t="s">
        <v>28</v>
      </c>
      <c r="M19" s="4" t="s">
        <v>29</v>
      </c>
      <c r="N19" s="4" t="s">
        <v>26</v>
      </c>
      <c r="O19" s="6" t="s">
        <v>10</v>
      </c>
      <c r="P19" s="4" t="s">
        <v>92</v>
      </c>
      <c r="Q19" s="4" t="s">
        <v>109</v>
      </c>
    </row>
    <row r="20" spans="1:17" ht="45">
      <c r="A20" s="7" t="s">
        <v>64</v>
      </c>
      <c r="B20" s="4">
        <v>19</v>
      </c>
      <c r="C20" s="4" t="s">
        <v>48</v>
      </c>
      <c r="D20" s="4" t="s">
        <v>3</v>
      </c>
      <c r="E20" s="4" t="s">
        <v>3</v>
      </c>
      <c r="F20" s="4" t="s">
        <v>76</v>
      </c>
      <c r="G20" s="4" t="s">
        <v>82</v>
      </c>
      <c r="H20" s="4" t="s">
        <v>26</v>
      </c>
      <c r="I20" s="4" t="s">
        <v>27</v>
      </c>
      <c r="J20" s="4">
        <v>250000</v>
      </c>
      <c r="K20" s="4" t="s">
        <v>10</v>
      </c>
      <c r="L20" s="4" t="s">
        <v>28</v>
      </c>
      <c r="M20" s="4" t="s">
        <v>29</v>
      </c>
      <c r="N20" s="4" t="s">
        <v>28</v>
      </c>
      <c r="O20" s="6" t="s">
        <v>10</v>
      </c>
      <c r="P20" s="4" t="s">
        <v>92</v>
      </c>
      <c r="Q20" s="4" t="s">
        <v>110</v>
      </c>
    </row>
    <row r="21" spans="1:17" ht="67.5">
      <c r="A21" s="7" t="s">
        <v>64</v>
      </c>
      <c r="B21" s="4">
        <v>20</v>
      </c>
      <c r="C21" s="4" t="s">
        <v>54</v>
      </c>
      <c r="D21" s="4" t="s">
        <v>9</v>
      </c>
      <c r="E21" s="4" t="s">
        <v>9</v>
      </c>
      <c r="F21" s="4" t="s">
        <v>77</v>
      </c>
      <c r="G21" s="4" t="s">
        <v>82</v>
      </c>
      <c r="H21" s="4" t="s">
        <v>26</v>
      </c>
      <c r="I21" s="4" t="s">
        <v>55</v>
      </c>
      <c r="J21" s="5">
        <v>1800000</v>
      </c>
      <c r="K21" s="4" t="s">
        <v>10</v>
      </c>
      <c r="L21" s="4" t="s">
        <v>26</v>
      </c>
      <c r="M21" s="4" t="s">
        <v>29</v>
      </c>
      <c r="N21" s="4" t="s">
        <v>26</v>
      </c>
      <c r="O21" s="8" t="s">
        <v>10</v>
      </c>
      <c r="P21" s="4" t="s">
        <v>92</v>
      </c>
      <c r="Q21" s="4" t="s">
        <v>111</v>
      </c>
    </row>
    <row r="22" spans="1:17" ht="67.5">
      <c r="A22" s="7" t="s">
        <v>64</v>
      </c>
      <c r="B22" s="4">
        <v>21</v>
      </c>
      <c r="C22" s="4" t="s">
        <v>48</v>
      </c>
      <c r="D22" s="4" t="s">
        <v>4</v>
      </c>
      <c r="E22" s="4" t="s">
        <v>4</v>
      </c>
      <c r="F22" s="4" t="s">
        <v>78</v>
      </c>
      <c r="G22" s="4" t="s">
        <v>82</v>
      </c>
      <c r="H22" s="4" t="s">
        <v>26</v>
      </c>
      <c r="I22" s="4" t="s">
        <v>73</v>
      </c>
      <c r="J22" s="4" t="s">
        <v>56</v>
      </c>
      <c r="K22" s="4" t="s">
        <v>10</v>
      </c>
      <c r="L22" s="4" t="s">
        <v>26</v>
      </c>
      <c r="M22" s="4" t="s">
        <v>53</v>
      </c>
      <c r="N22" s="4" t="s">
        <v>26</v>
      </c>
      <c r="O22" s="6" t="s">
        <v>10</v>
      </c>
      <c r="P22" s="4" t="s">
        <v>92</v>
      </c>
      <c r="Q22" s="4" t="s">
        <v>112</v>
      </c>
    </row>
    <row r="23" spans="1:17" ht="45">
      <c r="A23" s="7" t="s">
        <v>65</v>
      </c>
      <c r="B23" s="4">
        <v>22</v>
      </c>
      <c r="C23" s="4" t="s">
        <v>57</v>
      </c>
      <c r="D23" s="4" t="s">
        <v>11</v>
      </c>
      <c r="E23" s="4" t="s">
        <v>11</v>
      </c>
      <c r="F23" s="4" t="s">
        <v>79</v>
      </c>
      <c r="G23" s="4" t="s">
        <v>82</v>
      </c>
      <c r="H23" s="4" t="s">
        <v>26</v>
      </c>
      <c r="I23" s="4" t="s">
        <v>87</v>
      </c>
      <c r="J23" s="5" t="s">
        <v>58</v>
      </c>
      <c r="K23" s="4" t="s">
        <v>10</v>
      </c>
      <c r="L23" s="4" t="s">
        <v>28</v>
      </c>
      <c r="M23" s="4" t="s">
        <v>53</v>
      </c>
      <c r="N23" s="4" t="s">
        <v>28</v>
      </c>
      <c r="O23" s="6" t="s">
        <v>12</v>
      </c>
      <c r="P23" s="4"/>
      <c r="Q23" s="4"/>
    </row>
    <row r="24" spans="1:17" ht="45">
      <c r="A24" s="7" t="s">
        <v>65</v>
      </c>
      <c r="B24" s="4">
        <v>23</v>
      </c>
      <c r="C24" s="4" t="s">
        <v>59</v>
      </c>
      <c r="D24" s="4" t="s">
        <v>11</v>
      </c>
      <c r="E24" s="4" t="s">
        <v>11</v>
      </c>
      <c r="F24" s="4" t="s">
        <v>79</v>
      </c>
      <c r="G24" s="4" t="s">
        <v>82</v>
      </c>
      <c r="H24" s="4" t="s">
        <v>26</v>
      </c>
      <c r="I24" s="4" t="s">
        <v>87</v>
      </c>
      <c r="J24" s="5" t="s">
        <v>60</v>
      </c>
      <c r="K24" s="4" t="s">
        <v>10</v>
      </c>
      <c r="L24" s="4" t="s">
        <v>28</v>
      </c>
      <c r="M24" s="4" t="s">
        <v>53</v>
      </c>
      <c r="N24" s="4" t="s">
        <v>28</v>
      </c>
      <c r="O24" s="6" t="s">
        <v>12</v>
      </c>
      <c r="P24" s="4"/>
      <c r="Q24" s="4"/>
    </row>
    <row r="25" spans="1:17" ht="45">
      <c r="A25" s="7" t="s">
        <v>65</v>
      </c>
      <c r="B25" s="4">
        <v>24</v>
      </c>
      <c r="C25" s="4" t="s">
        <v>61</v>
      </c>
      <c r="D25" s="4" t="s">
        <v>11</v>
      </c>
      <c r="E25" s="4" t="s">
        <v>11</v>
      </c>
      <c r="F25" s="4" t="s">
        <v>79</v>
      </c>
      <c r="G25" s="4" t="s">
        <v>82</v>
      </c>
      <c r="H25" s="4" t="s">
        <v>26</v>
      </c>
      <c r="I25" s="4" t="s">
        <v>87</v>
      </c>
      <c r="J25" s="5">
        <v>50000</v>
      </c>
      <c r="K25" s="4" t="s">
        <v>10</v>
      </c>
      <c r="L25" s="4" t="s">
        <v>28</v>
      </c>
      <c r="M25" s="4" t="s">
        <v>53</v>
      </c>
      <c r="N25" s="4" t="s">
        <v>28</v>
      </c>
      <c r="O25" s="6" t="s">
        <v>13</v>
      </c>
      <c r="P25" s="4"/>
      <c r="Q25" s="4"/>
    </row>
    <row r="26" spans="1:17" ht="68" thickBot="1">
      <c r="A26" s="10" t="s">
        <v>65</v>
      </c>
      <c r="B26" s="4">
        <v>25</v>
      </c>
      <c r="C26" s="4" t="s">
        <v>62</v>
      </c>
      <c r="D26" s="4" t="s">
        <v>11</v>
      </c>
      <c r="E26" s="4" t="s">
        <v>11</v>
      </c>
      <c r="F26" s="4" t="s">
        <v>80</v>
      </c>
      <c r="G26" s="4" t="s">
        <v>82</v>
      </c>
      <c r="H26" s="4"/>
      <c r="I26" s="4" t="s">
        <v>87</v>
      </c>
      <c r="J26" s="4" t="s">
        <v>58</v>
      </c>
      <c r="K26" s="4" t="s">
        <v>10</v>
      </c>
      <c r="L26" s="4" t="s">
        <v>28</v>
      </c>
      <c r="M26" s="4" t="s">
        <v>53</v>
      </c>
      <c r="N26" s="4" t="s">
        <v>28</v>
      </c>
      <c r="O26" s="4" t="s">
        <v>12</v>
      </c>
      <c r="P26" s="4"/>
      <c r="Q26" s="4"/>
    </row>
    <row r="27" spans="1:17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</sheetData>
  <autoFilter ref="A1:Q26" xr:uid="{00000000-0001-0000-01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2E443E-0B57-4F1C-A445-061553088CC9}">
          <x14:formula1>
            <xm:f>Backup!$C$2:$C$4</xm:f>
          </x14:formula1>
          <xm:sqref>P2:P26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B958-C408-47AF-948A-654CA7C075C0}">
  <dimension ref="C2:C4"/>
  <sheetViews>
    <sheetView workbookViewId="0">
      <selection activeCell="C2" sqref="C2:C4"/>
    </sheetView>
  </sheetViews>
  <sheetFormatPr defaultColWidth="8.81640625" defaultRowHeight="14.5"/>
  <cols>
    <col min="3" max="3" width="12.6328125" bestFit="1" customWidth="1"/>
  </cols>
  <sheetData>
    <row r="2" spans="3:3">
      <c r="C2" t="s">
        <v>91</v>
      </c>
    </row>
    <row r="3" spans="3:3">
      <c r="C3" t="s">
        <v>92</v>
      </c>
    </row>
    <row r="4" spans="3:3">
      <c r="C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Government Agencies Pipeline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2026-02-09T15:16:15Z</dcterms:created>
  <dcterms:modified xsi:type="dcterms:W3CDTF">2026-02-17T18:46:41Z</dcterms:modified>
</cp:coreProperties>
</file>